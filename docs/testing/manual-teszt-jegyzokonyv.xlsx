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Útmutató" sheetId="1" state="visible" r:id="rId1"/>
    <sheet name="Personák" sheetId="2" state="visible" r:id="rId2"/>
    <sheet name="Jegyzőkönyv" sheetId="3" state="visible" r:id="rId3"/>
    <sheet name="Hibalista" sheetId="4" state="visible" r:id="rId4"/>
  </sheets>
  <definedNames>
    <definedName name="_xlnm._FilterDatabase" localSheetId="1" hidden="1">'Personák'!$A$1:$N$49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color rgb="004A4A5E"/>
      <sz val="10"/>
    </font>
    <font>
      <name val="Arial"/>
      <b val="1"/>
      <color rgb="001A1A2E"/>
      <sz val="10"/>
    </font>
    <font>
      <name val="Arial"/>
      <b val="1"/>
      <color rgb="001A1A2E"/>
      <sz val="11"/>
    </font>
    <font>
      <name val="Arial"/>
      <b val="1"/>
      <color rgb="003D6B5E"/>
      <sz val="10"/>
    </font>
    <font>
      <name val="Arial"/>
      <b val="1"/>
      <color rgb="00FFFFFF"/>
      <sz val="10"/>
    </font>
    <font>
      <name val="Arial"/>
      <color rgb="001A1A2E"/>
      <sz val="10"/>
    </font>
    <font>
      <name val="Arial"/>
      <b val="1"/>
      <color rgb="007A756E"/>
      <sz val="9"/>
    </font>
    <font>
      <name val="Arial"/>
      <i val="1"/>
      <color rgb="007A756E"/>
      <sz val="9"/>
    </font>
  </fonts>
  <fills count="5">
    <fill>
      <patternFill/>
    </fill>
    <fill>
      <patternFill patternType="gray125"/>
    </fill>
    <fill>
      <patternFill patternType="solid">
        <fgColor rgb="001E3D34"/>
      </patternFill>
    </fill>
    <fill>
      <patternFill patternType="solid">
        <fgColor rgb="00F0ED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CFC1"/>
      </left>
      <right style="thin">
        <color rgb="00D9CFC1"/>
      </right>
      <top style="thin">
        <color rgb="00D9CFC1"/>
      </top>
      <bottom style="thin">
        <color rgb="00D9CFC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7" fillId="3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9" fillId="0" borderId="0" pivotButton="0" quotePrefix="0" xfId="0"/>
    <xf numFmtId="0" fontId="9" fillId="4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78" customWidth="1" min="3" max="3"/>
  </cols>
  <sheetData>
    <row r="2">
      <c r="B2" s="1" t="inlineStr">
        <is>
          <t>TRITA — MANUÁLIS TESZT-JEGYZŐKÖNYV</t>
        </is>
      </c>
      <c r="C2" s="2" t="inlineStr"/>
    </row>
    <row r="3">
      <c r="B3" s="3" t="inlineStr"/>
      <c r="C3" s="2" t="inlineStr"/>
    </row>
    <row r="4">
      <c r="B4" s="3" t="inlineStr">
        <is>
          <t>Personák felhúzása</t>
        </is>
      </c>
      <c r="C4" s="2" t="inlineStr">
        <is>
          <t>pnpm seed:personas          (mind a 30; opció: --observers 3, --only slug1,slug2, --clean, --list)</t>
        </is>
      </c>
    </row>
    <row r="5">
      <c r="B5" s="3" t="inlineStr">
        <is>
          <t>Belépés</t>
        </is>
      </c>
      <c r="C5" s="2" t="inlineStr">
        <is>
          <t>/sign-in → persona-email (Personák fül) → kód: 424242</t>
        </is>
      </c>
    </row>
    <row r="6">
      <c r="B6" s="3" t="inlineStr">
        <is>
          <t>Persona-váltás</t>
        </is>
      </c>
      <c r="C6" s="2" t="inlineStr">
        <is>
          <t>Kijelentkezés → másik persona-email → 424242</t>
        </is>
      </c>
    </row>
    <row r="7">
      <c r="B7" s="3" t="inlineStr">
        <is>
          <t>Eredményoldal</t>
        </is>
      </c>
      <c r="C7" s="2" t="inlineStr">
        <is>
          <t>/profile/results (belépés után automatikusan oda jutsz)</t>
        </is>
      </c>
    </row>
    <row r="8">
      <c r="B8" s="3" t="inlineStr"/>
      <c r="C8" s="2" t="inlineStr"/>
    </row>
    <row r="9">
      <c r="B9" s="3" t="inlineStr">
        <is>
          <t>Kitöltés</t>
        </is>
      </c>
      <c r="C9" s="2" t="inlineStr">
        <is>
          <t>A Jegyzőkönyv fülön personánként egy sor. A sárga cellák a kitöltendők: minden ellenőrzési oszlopban legördülő (OK / HIBA / N/A), hibánál a Hibalista fülre vegyél fel sort, és írd a hibajegy-azonosítót a Megjegyzés oszlopba.</t>
        </is>
      </c>
    </row>
    <row r="10">
      <c r="B10" s="3" t="inlineStr">
        <is>
          <t>Elvárt értékek</t>
        </is>
      </c>
      <c r="C10" s="2" t="inlineStr">
        <is>
          <t>A Personák fül tartalmazza a determinisztikus pontszámokat és a várt archetípus-címkét — az eredményoldalnak ezekkel kell egyeznie.</t>
        </is>
      </c>
    </row>
    <row r="11">
      <c r="B11" s="3" t="inlineStr"/>
      <c r="C11" s="2" t="inlineStr"/>
    </row>
    <row r="12">
      <c r="B12" s="3" t="inlineStr">
        <is>
          <t>Jelmagyarázat</t>
        </is>
      </c>
      <c r="C12" s="2" t="inlineStr">
        <is>
          <t>Sárga cella = kitöltendő · Zöld = OK · Piros = HIBA</t>
        </is>
      </c>
    </row>
    <row r="14">
      <c r="B14" s="4" t="inlineStr">
        <is>
          <t>Összesítés (Jegyzőkönyv fülről)</t>
        </is>
      </c>
    </row>
    <row r="15">
      <c r="B15" s="5" t="inlineStr">
        <is>
          <t>Tesztelt personák (van státusz)</t>
        </is>
      </c>
      <c r="C15" s="6">
        <f>COUNTIF(Jegyzőkönyv!F3:F50,"OK")+COUNTIF(Jegyzőkönyv!F3:F50,"HIBA")</f>
        <v/>
      </c>
    </row>
    <row r="16">
      <c r="B16" s="5" t="inlineStr">
        <is>
          <t>OK cellák összesen</t>
        </is>
      </c>
      <c r="C16" s="6">
        <f>COUNTIF(Jegyzőkönyv!F3:N50,"OK")</f>
        <v/>
      </c>
    </row>
    <row r="17">
      <c r="B17" s="5" t="inlineStr">
        <is>
          <t>HIBA cellák összesen</t>
        </is>
      </c>
      <c r="C17" s="6">
        <f>COUNTIF(Jegyzőkönyv!F3:N50,"HIBA")</f>
        <v/>
      </c>
    </row>
    <row r="18">
      <c r="B18" s="5" t="inlineStr">
        <is>
          <t>Nyitott hibák</t>
        </is>
      </c>
      <c r="C18" s="6">
        <f>COUNTIF(Hibalista!H3:H100,"Nyitott")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6" customWidth="1" min="3" max="3"/>
    <col width="26" customWidth="1" min="4" max="4"/>
    <col width="48" customWidth="1" min="5" max="5"/>
    <col width="8" customWidth="1" min="6" max="6"/>
    <col width="18" customWidth="1" min="7" max="7"/>
    <col width="4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7" t="inlineStr">
        <is>
          <t>#</t>
        </is>
      </c>
      <c r="B1" s="7" t="inlineStr">
        <is>
          <t>Típus</t>
        </is>
      </c>
      <c r="C1" s="7" t="inlineStr">
        <is>
          <t>Slug</t>
        </is>
      </c>
      <c r="D1" s="7" t="inlineStr">
        <is>
          <t>Várt archetípus</t>
        </is>
      </c>
      <c r="E1" s="7" t="inlineStr">
        <is>
          <t>Email (belépés)</t>
        </is>
      </c>
      <c r="F1" s="7" t="inlineStr">
        <is>
          <t>Kód</t>
        </is>
      </c>
      <c r="G1" s="7" t="inlineStr">
        <is>
          <t>Várt figyelendő (low)</t>
        </is>
      </c>
      <c r="H1" s="7" t="inlineStr">
        <is>
          <t>Várt feszültség-blokk(ok)</t>
        </is>
      </c>
      <c r="I1" s="7" t="inlineStr">
        <is>
          <t>Integritás</t>
        </is>
      </c>
      <c r="J1" s="7" t="inlineStr">
        <is>
          <t>Rezonancia</t>
        </is>
      </c>
      <c r="K1" s="7" t="inlineStr">
        <is>
          <t>Társas energia</t>
        </is>
      </c>
      <c r="L1" s="7" t="inlineStr">
        <is>
          <t>Alkalmazkodás</t>
        </is>
      </c>
      <c r="M1" s="7" t="inlineStr">
        <is>
          <t>Tervezettség</t>
        </is>
      </c>
      <c r="N1" s="7" t="inlineStr">
        <is>
          <t>Nyitottság</t>
        </is>
      </c>
    </row>
    <row r="2">
      <c r="A2" s="8" t="n">
        <v>1</v>
      </c>
      <c r="B2" s="8" t="inlineStr">
        <is>
          <t>archetípus</t>
        </is>
      </c>
      <c r="C2" s="8" t="inlineStr">
        <is>
          <t>inte-reso</t>
        </is>
      </c>
      <c r="D2" s="8" t="inlineStr">
        <is>
          <t>Empatikus értékőr</t>
        </is>
      </c>
      <c r="E2" s="8" t="inlineStr">
        <is>
          <t>persona-inte-reso+clerk_test@trita.io</t>
        </is>
      </c>
      <c r="F2" s="8" t="inlineStr">
        <is>
          <t>424242</t>
        </is>
      </c>
      <c r="G2" s="8" t="inlineStr">
        <is>
          <t>Nyitottság</t>
        </is>
      </c>
      <c r="H2" s="8" t="inlineStr">
        <is>
          <t>—</t>
        </is>
      </c>
      <c r="I2" s="8" t="n">
        <v>86</v>
      </c>
      <c r="J2" s="8" t="n">
        <v>74</v>
      </c>
      <c r="K2" s="8" t="n">
        <v>55</v>
      </c>
      <c r="L2" s="8" t="n">
        <v>50</v>
      </c>
      <c r="M2" s="8" t="n">
        <v>45</v>
      </c>
      <c r="N2" s="8" t="n">
        <v>30</v>
      </c>
    </row>
    <row r="3">
      <c r="A3" s="9" t="n">
        <v>2</v>
      </c>
      <c r="B3" s="9" t="inlineStr">
        <is>
          <t>archetípus</t>
        </is>
      </c>
      <c r="C3" s="9" t="inlineStr">
        <is>
          <t>inte-temp</t>
        </is>
      </c>
      <c r="D3" s="9" t="inlineStr">
        <is>
          <t>Energikus értékőr</t>
        </is>
      </c>
      <c r="E3" s="9" t="inlineStr">
        <is>
          <t>persona-inte-temp+clerk_test@trita.io</t>
        </is>
      </c>
      <c r="F3" s="9" t="inlineStr">
        <is>
          <t>424242</t>
        </is>
      </c>
      <c r="G3" s="9" t="inlineStr">
        <is>
          <t>Nyitottság</t>
        </is>
      </c>
      <c r="H3" s="9" t="inlineStr">
        <is>
          <t>ethicalLeader</t>
        </is>
      </c>
      <c r="I3" s="9" t="n">
        <v>86</v>
      </c>
      <c r="J3" s="9" t="n">
        <v>55</v>
      </c>
      <c r="K3" s="9" t="n">
        <v>74</v>
      </c>
      <c r="L3" s="9" t="n">
        <v>50</v>
      </c>
      <c r="M3" s="9" t="n">
        <v>45</v>
      </c>
      <c r="N3" s="9" t="n">
        <v>30</v>
      </c>
    </row>
    <row r="4">
      <c r="A4" s="8" t="n">
        <v>3</v>
      </c>
      <c r="B4" s="8" t="inlineStr">
        <is>
          <t>archetípus</t>
        </is>
      </c>
      <c r="C4" s="8" t="inlineStr">
        <is>
          <t>inte-adap</t>
        </is>
      </c>
      <c r="D4" s="8" t="inlineStr">
        <is>
          <t>Együttműködő értékőr</t>
        </is>
      </c>
      <c r="E4" s="8" t="inlineStr">
        <is>
          <t>persona-inte-adap+clerk_test@trita.io</t>
        </is>
      </c>
      <c r="F4" s="8" t="inlineStr">
        <is>
          <t>424242</t>
        </is>
      </c>
      <c r="G4" s="8" t="inlineStr">
        <is>
          <t>Nyitottság</t>
        </is>
      </c>
      <c r="H4" s="8" t="inlineStr">
        <is>
          <t>—</t>
        </is>
      </c>
      <c r="I4" s="8" t="n">
        <v>86</v>
      </c>
      <c r="J4" s="8" t="n">
        <v>55</v>
      </c>
      <c r="K4" s="8" t="n">
        <v>50</v>
      </c>
      <c r="L4" s="8" t="n">
        <v>74</v>
      </c>
      <c r="M4" s="8" t="n">
        <v>45</v>
      </c>
      <c r="N4" s="8" t="n">
        <v>30</v>
      </c>
    </row>
    <row r="5">
      <c r="A5" s="9" t="n">
        <v>4</v>
      </c>
      <c r="B5" s="9" t="inlineStr">
        <is>
          <t>archetípus</t>
        </is>
      </c>
      <c r="C5" s="9" t="inlineStr">
        <is>
          <t>inte-thor</t>
        </is>
      </c>
      <c r="D5" s="9" t="inlineStr">
        <is>
          <t>Módszeres értékőr</t>
        </is>
      </c>
      <c r="E5" s="9" t="inlineStr">
        <is>
          <t>persona-inte-thor+clerk_test@trita.io</t>
        </is>
      </c>
      <c r="F5" s="9" t="inlineStr">
        <is>
          <t>424242</t>
        </is>
      </c>
      <c r="G5" s="9" t="inlineStr">
        <is>
          <t>Nyitottság</t>
        </is>
      </c>
      <c r="H5" s="9" t="inlineStr">
        <is>
          <t>—</t>
        </is>
      </c>
      <c r="I5" s="9" t="n">
        <v>86</v>
      </c>
      <c r="J5" s="9" t="n">
        <v>55</v>
      </c>
      <c r="K5" s="9" t="n">
        <v>50</v>
      </c>
      <c r="L5" s="9" t="n">
        <v>45</v>
      </c>
      <c r="M5" s="9" t="n">
        <v>74</v>
      </c>
      <c r="N5" s="9" t="n">
        <v>30</v>
      </c>
    </row>
    <row r="6">
      <c r="A6" s="8" t="n">
        <v>5</v>
      </c>
      <c r="B6" s="8" t="inlineStr">
        <is>
          <t>archetípus</t>
        </is>
      </c>
      <c r="C6" s="8" t="inlineStr">
        <is>
          <t>inte-open</t>
        </is>
      </c>
      <c r="D6" s="8" t="inlineStr">
        <is>
          <t>Kísérletező értékőr</t>
        </is>
      </c>
      <c r="E6" s="8" t="inlineStr">
        <is>
          <t>persona-inte-open+clerk_test@trita.io</t>
        </is>
      </c>
      <c r="F6" s="8" t="inlineStr">
        <is>
          <t>424242</t>
        </is>
      </c>
      <c r="G6" s="8" t="inlineStr">
        <is>
          <t>Tervezettség</t>
        </is>
      </c>
      <c r="H6" s="8" t="inlineStr">
        <is>
          <t>responsibleInnovator</t>
        </is>
      </c>
      <c r="I6" s="8" t="n">
        <v>86</v>
      </c>
      <c r="J6" s="8" t="n">
        <v>55</v>
      </c>
      <c r="K6" s="8" t="n">
        <v>50</v>
      </c>
      <c r="L6" s="8" t="n">
        <v>45</v>
      </c>
      <c r="M6" s="8" t="n">
        <v>30</v>
      </c>
      <c r="N6" s="8" t="n">
        <v>74</v>
      </c>
    </row>
    <row r="7">
      <c r="A7" s="9" t="n">
        <v>6</v>
      </c>
      <c r="B7" s="9" t="inlineStr">
        <is>
          <t>archetípus</t>
        </is>
      </c>
      <c r="C7" s="9" t="inlineStr">
        <is>
          <t>reso-inte</t>
        </is>
      </c>
      <c r="D7" s="9" t="inlineStr">
        <is>
          <t>Elvhű empata</t>
        </is>
      </c>
      <c r="E7" s="9" t="inlineStr">
        <is>
          <t>persona-reso-inte+clerk_test@trita.io</t>
        </is>
      </c>
      <c r="F7" s="9" t="inlineStr">
        <is>
          <t>424242</t>
        </is>
      </c>
      <c r="G7" s="9" t="inlineStr">
        <is>
          <t>Nyitottság</t>
        </is>
      </c>
      <c r="H7" s="9" t="inlineStr">
        <is>
          <t>—</t>
        </is>
      </c>
      <c r="I7" s="9" t="n">
        <v>74</v>
      </c>
      <c r="J7" s="9" t="n">
        <v>86</v>
      </c>
      <c r="K7" s="9" t="n">
        <v>55</v>
      </c>
      <c r="L7" s="9" t="n">
        <v>50</v>
      </c>
      <c r="M7" s="9" t="n">
        <v>45</v>
      </c>
      <c r="N7" s="9" t="n">
        <v>30</v>
      </c>
    </row>
    <row r="8">
      <c r="A8" s="8" t="n">
        <v>7</v>
      </c>
      <c r="B8" s="8" t="inlineStr">
        <is>
          <t>archetípus</t>
        </is>
      </c>
      <c r="C8" s="8" t="inlineStr">
        <is>
          <t>reso-temp</t>
        </is>
      </c>
      <c r="D8" s="8" t="inlineStr">
        <is>
          <t>Energikus empata</t>
        </is>
      </c>
      <c r="E8" s="8" t="inlineStr">
        <is>
          <t>persona-reso-temp+clerk_test@trita.io</t>
        </is>
      </c>
      <c r="F8" s="8" t="inlineStr">
        <is>
          <t>424242</t>
        </is>
      </c>
      <c r="G8" s="8" t="inlineStr">
        <is>
          <t>Nyitottság</t>
        </is>
      </c>
      <c r="H8" s="8" t="inlineStr">
        <is>
          <t>supportedVisibility (risk)</t>
        </is>
      </c>
      <c r="I8" s="8" t="n">
        <v>55</v>
      </c>
      <c r="J8" s="8" t="n">
        <v>86</v>
      </c>
      <c r="K8" s="8" t="n">
        <v>74</v>
      </c>
      <c r="L8" s="8" t="n">
        <v>50</v>
      </c>
      <c r="M8" s="8" t="n">
        <v>45</v>
      </c>
      <c r="N8" s="8" t="n">
        <v>30</v>
      </c>
    </row>
    <row r="9">
      <c r="A9" s="9" t="n">
        <v>8</v>
      </c>
      <c r="B9" s="9" t="inlineStr">
        <is>
          <t>archetípus</t>
        </is>
      </c>
      <c r="C9" s="9" t="inlineStr">
        <is>
          <t>reso-adap</t>
        </is>
      </c>
      <c r="D9" s="9" t="inlineStr">
        <is>
          <t>Együttműködő empata</t>
        </is>
      </c>
      <c r="E9" s="9" t="inlineStr">
        <is>
          <t>persona-reso-adap+clerk_test@trita.io</t>
        </is>
      </c>
      <c r="F9" s="9" t="inlineStr">
        <is>
          <t>424242</t>
        </is>
      </c>
      <c r="G9" s="9" t="inlineStr">
        <is>
          <t>Nyitottság</t>
        </is>
      </c>
      <c r="H9" s="9" t="inlineStr">
        <is>
          <t>—</t>
        </is>
      </c>
      <c r="I9" s="9" t="n">
        <v>55</v>
      </c>
      <c r="J9" s="9" t="n">
        <v>86</v>
      </c>
      <c r="K9" s="9" t="n">
        <v>50</v>
      </c>
      <c r="L9" s="9" t="n">
        <v>74</v>
      </c>
      <c r="M9" s="9" t="n">
        <v>45</v>
      </c>
      <c r="N9" s="9" t="n">
        <v>30</v>
      </c>
    </row>
    <row r="10">
      <c r="A10" s="8" t="n">
        <v>9</v>
      </c>
      <c r="B10" s="8" t="inlineStr">
        <is>
          <t>archetípus</t>
        </is>
      </c>
      <c r="C10" s="8" t="inlineStr">
        <is>
          <t>reso-thor</t>
        </is>
      </c>
      <c r="D10" s="8" t="inlineStr">
        <is>
          <t>Módszeres empata</t>
        </is>
      </c>
      <c r="E10" s="8" t="inlineStr">
        <is>
          <t>persona-reso-thor+clerk_test@trita.io</t>
        </is>
      </c>
      <c r="F10" s="8" t="inlineStr">
        <is>
          <t>424242</t>
        </is>
      </c>
      <c r="G10" s="8" t="inlineStr">
        <is>
          <t>Nyitottság</t>
        </is>
      </c>
      <c r="H10" s="8" t="inlineStr">
        <is>
          <t>structuredStability (risk)</t>
        </is>
      </c>
      <c r="I10" s="8" t="n">
        <v>55</v>
      </c>
      <c r="J10" s="8" t="n">
        <v>86</v>
      </c>
      <c r="K10" s="8" t="n">
        <v>50</v>
      </c>
      <c r="L10" s="8" t="n">
        <v>45</v>
      </c>
      <c r="M10" s="8" t="n">
        <v>74</v>
      </c>
      <c r="N10" s="8" t="n">
        <v>30</v>
      </c>
    </row>
    <row r="11">
      <c r="A11" s="9" t="n">
        <v>10</v>
      </c>
      <c r="B11" s="9" t="inlineStr">
        <is>
          <t>archetípus</t>
        </is>
      </c>
      <c r="C11" s="9" t="inlineStr">
        <is>
          <t>reso-open</t>
        </is>
      </c>
      <c r="D11" s="9" t="inlineStr">
        <is>
          <t>Kísérletező empata</t>
        </is>
      </c>
      <c r="E11" s="9" t="inlineStr">
        <is>
          <t>persona-reso-open+clerk_test@trita.io</t>
        </is>
      </c>
      <c r="F11" s="9" t="inlineStr">
        <is>
          <t>424242</t>
        </is>
      </c>
      <c r="G11" s="9" t="inlineStr">
        <is>
          <t>Tervezettség</t>
        </is>
      </c>
      <c r="H11" s="9" t="inlineStr">
        <is>
          <t>safeExperimentation (risk)</t>
        </is>
      </c>
      <c r="I11" s="9" t="n">
        <v>55</v>
      </c>
      <c r="J11" s="9" t="n">
        <v>86</v>
      </c>
      <c r="K11" s="9" t="n">
        <v>50</v>
      </c>
      <c r="L11" s="9" t="n">
        <v>45</v>
      </c>
      <c r="M11" s="9" t="n">
        <v>30</v>
      </c>
      <c r="N11" s="9" t="n">
        <v>74</v>
      </c>
    </row>
    <row r="12">
      <c r="A12" s="8" t="n">
        <v>11</v>
      </c>
      <c r="B12" s="8" t="inlineStr">
        <is>
          <t>archetípus</t>
        </is>
      </c>
      <c r="C12" s="8" t="inlineStr">
        <is>
          <t>temp-inte</t>
        </is>
      </c>
      <c r="D12" s="8" t="inlineStr">
        <is>
          <t>Elvhű hajtóerő</t>
        </is>
      </c>
      <c r="E12" s="8" t="inlineStr">
        <is>
          <t>persona-temp-inte+clerk_test@trita.io</t>
        </is>
      </c>
      <c r="F12" s="8" t="inlineStr">
        <is>
          <t>424242</t>
        </is>
      </c>
      <c r="G12" s="8" t="inlineStr">
        <is>
          <t>Nyitottság</t>
        </is>
      </c>
      <c r="H12" s="8" t="inlineStr">
        <is>
          <t>ethicalLeader</t>
        </is>
      </c>
      <c r="I12" s="8" t="n">
        <v>74</v>
      </c>
      <c r="J12" s="8" t="n">
        <v>55</v>
      </c>
      <c r="K12" s="8" t="n">
        <v>86</v>
      </c>
      <c r="L12" s="8" t="n">
        <v>50</v>
      </c>
      <c r="M12" s="8" t="n">
        <v>45</v>
      </c>
      <c r="N12" s="8" t="n">
        <v>30</v>
      </c>
    </row>
    <row r="13">
      <c r="A13" s="9" t="n">
        <v>12</v>
      </c>
      <c r="B13" s="9" t="inlineStr">
        <is>
          <t>archetípus</t>
        </is>
      </c>
      <c r="C13" s="9" t="inlineStr">
        <is>
          <t>temp-reso</t>
        </is>
      </c>
      <c r="D13" s="9" t="inlineStr">
        <is>
          <t>Empatikus hajtóerő</t>
        </is>
      </c>
      <c r="E13" s="9" t="inlineStr">
        <is>
          <t>persona-temp-reso+clerk_test@trita.io</t>
        </is>
      </c>
      <c r="F13" s="9" t="inlineStr">
        <is>
          <t>424242</t>
        </is>
      </c>
      <c r="G13" s="9" t="inlineStr">
        <is>
          <t>Nyitottság</t>
        </is>
      </c>
      <c r="H13" s="9" t="inlineStr">
        <is>
          <t>supportedVisibility (risk)</t>
        </is>
      </c>
      <c r="I13" s="9" t="n">
        <v>55</v>
      </c>
      <c r="J13" s="9" t="n">
        <v>74</v>
      </c>
      <c r="K13" s="9" t="n">
        <v>86</v>
      </c>
      <c r="L13" s="9" t="n">
        <v>50</v>
      </c>
      <c r="M13" s="9" t="n">
        <v>45</v>
      </c>
      <c r="N13" s="9" t="n">
        <v>30</v>
      </c>
    </row>
    <row r="14">
      <c r="A14" s="8" t="n">
        <v>13</v>
      </c>
      <c r="B14" s="8" t="inlineStr">
        <is>
          <t>archetípus</t>
        </is>
      </c>
      <c r="C14" s="8" t="inlineStr">
        <is>
          <t>temp-adap</t>
        </is>
      </c>
      <c r="D14" s="8" t="inlineStr">
        <is>
          <t>Együttműködő hajtóerő</t>
        </is>
      </c>
      <c r="E14" s="8" t="inlineStr">
        <is>
          <t>persona-temp-adap+clerk_test@trita.io</t>
        </is>
      </c>
      <c r="F14" s="8" t="inlineStr">
        <is>
          <t>424242</t>
        </is>
      </c>
      <c r="G14" s="8" t="inlineStr">
        <is>
          <t>Nyitottság</t>
        </is>
      </c>
      <c r="H14" s="8" t="inlineStr">
        <is>
          <t>harmoniousConnector</t>
        </is>
      </c>
      <c r="I14" s="8" t="n">
        <v>55</v>
      </c>
      <c r="J14" s="8" t="n">
        <v>50</v>
      </c>
      <c r="K14" s="8" t="n">
        <v>86</v>
      </c>
      <c r="L14" s="8" t="n">
        <v>74</v>
      </c>
      <c r="M14" s="8" t="n">
        <v>45</v>
      </c>
      <c r="N14" s="8" t="n">
        <v>30</v>
      </c>
    </row>
    <row r="15">
      <c r="A15" s="9" t="n">
        <v>14</v>
      </c>
      <c r="B15" s="9" t="inlineStr">
        <is>
          <t>archetípus</t>
        </is>
      </c>
      <c r="C15" s="9" t="inlineStr">
        <is>
          <t>temp-thor</t>
        </is>
      </c>
      <c r="D15" s="9" t="inlineStr">
        <is>
          <t>Módszeres hajtóerő</t>
        </is>
      </c>
      <c r="E15" s="9" t="inlineStr">
        <is>
          <t>persona-temp-thor+clerk_test@trita.io</t>
        </is>
      </c>
      <c r="F15" s="9" t="inlineStr">
        <is>
          <t>424242</t>
        </is>
      </c>
      <c r="G15" s="9" t="inlineStr">
        <is>
          <t>Nyitottság</t>
        </is>
      </c>
      <c r="H15" s="9" t="inlineStr">
        <is>
          <t>organizedLeader</t>
        </is>
      </c>
      <c r="I15" s="9" t="n">
        <v>55</v>
      </c>
      <c r="J15" s="9" t="n">
        <v>50</v>
      </c>
      <c r="K15" s="9" t="n">
        <v>86</v>
      </c>
      <c r="L15" s="9" t="n">
        <v>45</v>
      </c>
      <c r="M15" s="9" t="n">
        <v>74</v>
      </c>
      <c r="N15" s="9" t="n">
        <v>30</v>
      </c>
    </row>
    <row r="16">
      <c r="A16" s="8" t="n">
        <v>15</v>
      </c>
      <c r="B16" s="8" t="inlineStr">
        <is>
          <t>archetípus</t>
        </is>
      </c>
      <c r="C16" s="8" t="inlineStr">
        <is>
          <t>temp-open</t>
        </is>
      </c>
      <c r="D16" s="8" t="inlineStr">
        <is>
          <t>Kísérletező hajtóerő</t>
        </is>
      </c>
      <c r="E16" s="8" t="inlineStr">
        <is>
          <t>persona-temp-open+clerk_test@trita.io</t>
        </is>
      </c>
      <c r="F16" s="8" t="inlineStr">
        <is>
          <t>424242</t>
        </is>
      </c>
      <c r="G16" s="8" t="inlineStr">
        <is>
          <t>Tervezettség</t>
        </is>
      </c>
      <c r="H16" s="8" t="inlineStr">
        <is>
          <t>—</t>
        </is>
      </c>
      <c r="I16" s="8" t="n">
        <v>55</v>
      </c>
      <c r="J16" s="8" t="n">
        <v>50</v>
      </c>
      <c r="K16" s="8" t="n">
        <v>86</v>
      </c>
      <c r="L16" s="8" t="n">
        <v>45</v>
      </c>
      <c r="M16" s="8" t="n">
        <v>30</v>
      </c>
      <c r="N16" s="8" t="n">
        <v>74</v>
      </c>
    </row>
    <row r="17">
      <c r="A17" s="9" t="n">
        <v>16</v>
      </c>
      <c r="B17" s="9" t="inlineStr">
        <is>
          <t>archetípus</t>
        </is>
      </c>
      <c r="C17" s="9" t="inlineStr">
        <is>
          <t>adap-inte</t>
        </is>
      </c>
      <c r="D17" s="9" t="inlineStr">
        <is>
          <t>Elvhű hídépítő</t>
        </is>
      </c>
      <c r="E17" s="9" t="inlineStr">
        <is>
          <t>persona-adap-inte+clerk_test@trita.io</t>
        </is>
      </c>
      <c r="F17" s="9" t="inlineStr">
        <is>
          <t>424242</t>
        </is>
      </c>
      <c r="G17" s="9" t="inlineStr">
        <is>
          <t>Nyitottság</t>
        </is>
      </c>
      <c r="H17" s="9" t="inlineStr">
        <is>
          <t>—</t>
        </is>
      </c>
      <c r="I17" s="9" t="n">
        <v>74</v>
      </c>
      <c r="J17" s="9" t="n">
        <v>55</v>
      </c>
      <c r="K17" s="9" t="n">
        <v>50</v>
      </c>
      <c r="L17" s="9" t="n">
        <v>86</v>
      </c>
      <c r="M17" s="9" t="n">
        <v>45</v>
      </c>
      <c r="N17" s="9" t="n">
        <v>30</v>
      </c>
    </row>
    <row r="18">
      <c r="A18" s="8" t="n">
        <v>17</v>
      </c>
      <c r="B18" s="8" t="inlineStr">
        <is>
          <t>archetípus</t>
        </is>
      </c>
      <c r="C18" s="8" t="inlineStr">
        <is>
          <t>adap-reso</t>
        </is>
      </c>
      <c r="D18" s="8" t="inlineStr">
        <is>
          <t>Empatikus hídépítő</t>
        </is>
      </c>
      <c r="E18" s="8" t="inlineStr">
        <is>
          <t>persona-adap-reso+clerk_test@trita.io</t>
        </is>
      </c>
      <c r="F18" s="8" t="inlineStr">
        <is>
          <t>424242</t>
        </is>
      </c>
      <c r="G18" s="8" t="inlineStr">
        <is>
          <t>Nyitottság</t>
        </is>
      </c>
      <c r="H18" s="8" t="inlineStr">
        <is>
          <t>—</t>
        </is>
      </c>
      <c r="I18" s="8" t="n">
        <v>55</v>
      </c>
      <c r="J18" s="8" t="n">
        <v>74</v>
      </c>
      <c r="K18" s="8" t="n">
        <v>50</v>
      </c>
      <c r="L18" s="8" t="n">
        <v>86</v>
      </c>
      <c r="M18" s="8" t="n">
        <v>45</v>
      </c>
      <c r="N18" s="8" t="n">
        <v>30</v>
      </c>
    </row>
    <row r="19">
      <c r="A19" s="9" t="n">
        <v>18</v>
      </c>
      <c r="B19" s="9" t="inlineStr">
        <is>
          <t>archetípus</t>
        </is>
      </c>
      <c r="C19" s="9" t="inlineStr">
        <is>
          <t>adap-temp</t>
        </is>
      </c>
      <c r="D19" s="9" t="inlineStr">
        <is>
          <t>Energikus hídépítő</t>
        </is>
      </c>
      <c r="E19" s="9" t="inlineStr">
        <is>
          <t>persona-adap-temp+clerk_test@trita.io</t>
        </is>
      </c>
      <c r="F19" s="9" t="inlineStr">
        <is>
          <t>424242</t>
        </is>
      </c>
      <c r="G19" s="9" t="inlineStr">
        <is>
          <t>Nyitottság</t>
        </is>
      </c>
      <c r="H19" s="9" t="inlineStr">
        <is>
          <t>harmoniousConnector</t>
        </is>
      </c>
      <c r="I19" s="9" t="n">
        <v>55</v>
      </c>
      <c r="J19" s="9" t="n">
        <v>50</v>
      </c>
      <c r="K19" s="9" t="n">
        <v>74</v>
      </c>
      <c r="L19" s="9" t="n">
        <v>86</v>
      </c>
      <c r="M19" s="9" t="n">
        <v>45</v>
      </c>
      <c r="N19" s="9" t="n">
        <v>30</v>
      </c>
    </row>
    <row r="20">
      <c r="A20" s="8" t="n">
        <v>19</v>
      </c>
      <c r="B20" s="8" t="inlineStr">
        <is>
          <t>archetípus</t>
        </is>
      </c>
      <c r="C20" s="8" t="inlineStr">
        <is>
          <t>adap-thor</t>
        </is>
      </c>
      <c r="D20" s="8" t="inlineStr">
        <is>
          <t>Módszeres hídépítő</t>
        </is>
      </c>
      <c r="E20" s="8" t="inlineStr">
        <is>
          <t>persona-adap-thor+clerk_test@trita.io</t>
        </is>
      </c>
      <c r="F20" s="8" t="inlineStr">
        <is>
          <t>424242</t>
        </is>
      </c>
      <c r="G20" s="8" t="inlineStr">
        <is>
          <t>Nyitottság</t>
        </is>
      </c>
      <c r="H20" s="8" t="inlineStr">
        <is>
          <t>—</t>
        </is>
      </c>
      <c r="I20" s="8" t="n">
        <v>55</v>
      </c>
      <c r="J20" s="8" t="n">
        <v>50</v>
      </c>
      <c r="K20" s="8" t="n">
        <v>45</v>
      </c>
      <c r="L20" s="8" t="n">
        <v>86</v>
      </c>
      <c r="M20" s="8" t="n">
        <v>74</v>
      </c>
      <c r="N20" s="8" t="n">
        <v>30</v>
      </c>
    </row>
    <row r="21">
      <c r="A21" s="9" t="n">
        <v>20</v>
      </c>
      <c r="B21" s="9" t="inlineStr">
        <is>
          <t>archetípus</t>
        </is>
      </c>
      <c r="C21" s="9" t="inlineStr">
        <is>
          <t>adap-open</t>
        </is>
      </c>
      <c r="D21" s="9" t="inlineStr">
        <is>
          <t>Kísérletező hídépítő</t>
        </is>
      </c>
      <c r="E21" s="9" t="inlineStr">
        <is>
          <t>persona-adap-open+clerk_test@trita.io</t>
        </is>
      </c>
      <c r="F21" s="9" t="inlineStr">
        <is>
          <t>424242</t>
        </is>
      </c>
      <c r="G21" s="9" t="inlineStr">
        <is>
          <t>Tervezettség</t>
        </is>
      </c>
      <c r="H21" s="9" t="inlineStr">
        <is>
          <t>facilitatedInnovation</t>
        </is>
      </c>
      <c r="I21" s="9" t="n">
        <v>55</v>
      </c>
      <c r="J21" s="9" t="n">
        <v>50</v>
      </c>
      <c r="K21" s="9" t="n">
        <v>45</v>
      </c>
      <c r="L21" s="9" t="n">
        <v>86</v>
      </c>
      <c r="M21" s="9" t="n">
        <v>30</v>
      </c>
      <c r="N21" s="9" t="n">
        <v>74</v>
      </c>
    </row>
    <row r="22">
      <c r="A22" s="8" t="n">
        <v>21</v>
      </c>
      <c r="B22" s="8" t="inlineStr">
        <is>
          <t>archetípus</t>
        </is>
      </c>
      <c r="C22" s="8" t="inlineStr">
        <is>
          <t>thor-inte</t>
        </is>
      </c>
      <c r="D22" s="8" t="inlineStr">
        <is>
          <t>Elvhű rendszerépítő</t>
        </is>
      </c>
      <c r="E22" s="8" t="inlineStr">
        <is>
          <t>persona-thor-inte+clerk_test@trita.io</t>
        </is>
      </c>
      <c r="F22" s="8" t="inlineStr">
        <is>
          <t>424242</t>
        </is>
      </c>
      <c r="G22" s="8" t="inlineStr">
        <is>
          <t>Nyitottság</t>
        </is>
      </c>
      <c r="H22" s="8" t="inlineStr">
        <is>
          <t>—</t>
        </is>
      </c>
      <c r="I22" s="8" t="n">
        <v>74</v>
      </c>
      <c r="J22" s="8" t="n">
        <v>55</v>
      </c>
      <c r="K22" s="8" t="n">
        <v>50</v>
      </c>
      <c r="L22" s="8" t="n">
        <v>45</v>
      </c>
      <c r="M22" s="8" t="n">
        <v>86</v>
      </c>
      <c r="N22" s="8" t="n">
        <v>30</v>
      </c>
    </row>
    <row r="23">
      <c r="A23" s="9" t="n">
        <v>22</v>
      </c>
      <c r="B23" s="9" t="inlineStr">
        <is>
          <t>archetípus</t>
        </is>
      </c>
      <c r="C23" s="9" t="inlineStr">
        <is>
          <t>thor-reso</t>
        </is>
      </c>
      <c r="D23" s="9" t="inlineStr">
        <is>
          <t>Empatikus rendszerépítő</t>
        </is>
      </c>
      <c r="E23" s="9" t="inlineStr">
        <is>
          <t>persona-thor-reso+clerk_test@trita.io</t>
        </is>
      </c>
      <c r="F23" s="9" t="inlineStr">
        <is>
          <t>424242</t>
        </is>
      </c>
      <c r="G23" s="9" t="inlineStr">
        <is>
          <t>Nyitottság</t>
        </is>
      </c>
      <c r="H23" s="9" t="inlineStr">
        <is>
          <t>structuredStability (risk)</t>
        </is>
      </c>
      <c r="I23" s="9" t="n">
        <v>55</v>
      </c>
      <c r="J23" s="9" t="n">
        <v>74</v>
      </c>
      <c r="K23" s="9" t="n">
        <v>50</v>
      </c>
      <c r="L23" s="9" t="n">
        <v>45</v>
      </c>
      <c r="M23" s="9" t="n">
        <v>86</v>
      </c>
      <c r="N23" s="9" t="n">
        <v>30</v>
      </c>
    </row>
    <row r="24">
      <c r="A24" s="8" t="n">
        <v>23</v>
      </c>
      <c r="B24" s="8" t="inlineStr">
        <is>
          <t>archetípus</t>
        </is>
      </c>
      <c r="C24" s="8" t="inlineStr">
        <is>
          <t>thor-temp</t>
        </is>
      </c>
      <c r="D24" s="8" t="inlineStr">
        <is>
          <t>Energikus rendszerépítő</t>
        </is>
      </c>
      <c r="E24" s="8" t="inlineStr">
        <is>
          <t>persona-thor-temp+clerk_test@trita.io</t>
        </is>
      </c>
      <c r="F24" s="8" t="inlineStr">
        <is>
          <t>424242</t>
        </is>
      </c>
      <c r="G24" s="8" t="inlineStr">
        <is>
          <t>Nyitottság</t>
        </is>
      </c>
      <c r="H24" s="8" t="inlineStr">
        <is>
          <t>organizedLeader</t>
        </is>
      </c>
      <c r="I24" s="8" t="n">
        <v>55</v>
      </c>
      <c r="J24" s="8" t="n">
        <v>50</v>
      </c>
      <c r="K24" s="8" t="n">
        <v>74</v>
      </c>
      <c r="L24" s="8" t="n">
        <v>45</v>
      </c>
      <c r="M24" s="8" t="n">
        <v>86</v>
      </c>
      <c r="N24" s="8" t="n">
        <v>30</v>
      </c>
    </row>
    <row r="25">
      <c r="A25" s="9" t="n">
        <v>24</v>
      </c>
      <c r="B25" s="9" t="inlineStr">
        <is>
          <t>archetípus</t>
        </is>
      </c>
      <c r="C25" s="9" t="inlineStr">
        <is>
          <t>thor-adap</t>
        </is>
      </c>
      <c r="D25" s="9" t="inlineStr">
        <is>
          <t>Együttműködő rendszerépítő</t>
        </is>
      </c>
      <c r="E25" s="9" t="inlineStr">
        <is>
          <t>persona-thor-adap+clerk_test@trita.io</t>
        </is>
      </c>
      <c r="F25" s="9" t="inlineStr">
        <is>
          <t>424242</t>
        </is>
      </c>
      <c r="G25" s="9" t="inlineStr">
        <is>
          <t>Nyitottság</t>
        </is>
      </c>
      <c r="H25" s="9" t="inlineStr">
        <is>
          <t>—</t>
        </is>
      </c>
      <c r="I25" s="9" t="n">
        <v>55</v>
      </c>
      <c r="J25" s="9" t="n">
        <v>50</v>
      </c>
      <c r="K25" s="9" t="n">
        <v>45</v>
      </c>
      <c r="L25" s="9" t="n">
        <v>74</v>
      </c>
      <c r="M25" s="9" t="n">
        <v>86</v>
      </c>
      <c r="N25" s="9" t="n">
        <v>30</v>
      </c>
    </row>
    <row r="26">
      <c r="A26" s="8" t="n">
        <v>25</v>
      </c>
      <c r="B26" s="8" t="inlineStr">
        <is>
          <t>archetípus</t>
        </is>
      </c>
      <c r="C26" s="8" t="inlineStr">
        <is>
          <t>thor-open</t>
        </is>
      </c>
      <c r="D26" s="8" t="inlineStr">
        <is>
          <t>Kísérletező rendszerépítő</t>
        </is>
      </c>
      <c r="E26" s="8" t="inlineStr">
        <is>
          <t>persona-thor-open+clerk_test@trita.io</t>
        </is>
      </c>
      <c r="F26" s="8" t="inlineStr">
        <is>
          <t>424242</t>
        </is>
      </c>
      <c r="G26" s="8" t="inlineStr">
        <is>
          <t>Alkalmazkodás</t>
        </is>
      </c>
      <c r="H26" s="8" t="inlineStr">
        <is>
          <t>structuredCompetitor, structuredInnovator, disruptiveInnovator</t>
        </is>
      </c>
      <c r="I26" s="8" t="n">
        <v>55</v>
      </c>
      <c r="J26" s="8" t="n">
        <v>50</v>
      </c>
      <c r="K26" s="8" t="n">
        <v>45</v>
      </c>
      <c r="L26" s="8" t="n">
        <v>30</v>
      </c>
      <c r="M26" s="8" t="n">
        <v>86</v>
      </c>
      <c r="N26" s="8" t="n">
        <v>74</v>
      </c>
    </row>
    <row r="27">
      <c r="A27" s="9" t="n">
        <v>26</v>
      </c>
      <c r="B27" s="9" t="inlineStr">
        <is>
          <t>archetípus</t>
        </is>
      </c>
      <c r="C27" s="9" t="inlineStr">
        <is>
          <t>open-inte</t>
        </is>
      </c>
      <c r="D27" s="9" t="inlineStr">
        <is>
          <t>Elvhű újító</t>
        </is>
      </c>
      <c r="E27" s="9" t="inlineStr">
        <is>
          <t>persona-open-inte+clerk_test@trita.io</t>
        </is>
      </c>
      <c r="F27" s="9" t="inlineStr">
        <is>
          <t>424242</t>
        </is>
      </c>
      <c r="G27" s="9" t="inlineStr">
        <is>
          <t>Tervezettség</t>
        </is>
      </c>
      <c r="H27" s="9" t="inlineStr">
        <is>
          <t>responsibleInnovator</t>
        </is>
      </c>
      <c r="I27" s="9" t="n">
        <v>74</v>
      </c>
      <c r="J27" s="9" t="n">
        <v>55</v>
      </c>
      <c r="K27" s="9" t="n">
        <v>50</v>
      </c>
      <c r="L27" s="9" t="n">
        <v>45</v>
      </c>
      <c r="M27" s="9" t="n">
        <v>30</v>
      </c>
      <c r="N27" s="9" t="n">
        <v>86</v>
      </c>
    </row>
    <row r="28">
      <c r="A28" s="8" t="n">
        <v>27</v>
      </c>
      <c r="B28" s="8" t="inlineStr">
        <is>
          <t>archetípus</t>
        </is>
      </c>
      <c r="C28" s="8" t="inlineStr">
        <is>
          <t>open-reso</t>
        </is>
      </c>
      <c r="D28" s="8" t="inlineStr">
        <is>
          <t>Empatikus újító</t>
        </is>
      </c>
      <c r="E28" s="8" t="inlineStr">
        <is>
          <t>persona-open-reso+clerk_test@trita.io</t>
        </is>
      </c>
      <c r="F28" s="8" t="inlineStr">
        <is>
          <t>424242</t>
        </is>
      </c>
      <c r="G28" s="8" t="inlineStr">
        <is>
          <t>Tervezettség</t>
        </is>
      </c>
      <c r="H28" s="8" t="inlineStr">
        <is>
          <t>safeExperimentation (risk)</t>
        </is>
      </c>
      <c r="I28" s="8" t="n">
        <v>55</v>
      </c>
      <c r="J28" s="8" t="n">
        <v>74</v>
      </c>
      <c r="K28" s="8" t="n">
        <v>50</v>
      </c>
      <c r="L28" s="8" t="n">
        <v>45</v>
      </c>
      <c r="M28" s="8" t="n">
        <v>30</v>
      </c>
      <c r="N28" s="8" t="n">
        <v>86</v>
      </c>
    </row>
    <row r="29">
      <c r="A29" s="9" t="n">
        <v>28</v>
      </c>
      <c r="B29" s="9" t="inlineStr">
        <is>
          <t>archetípus</t>
        </is>
      </c>
      <c r="C29" s="9" t="inlineStr">
        <is>
          <t>open-temp</t>
        </is>
      </c>
      <c r="D29" s="9" t="inlineStr">
        <is>
          <t>Energikus újító</t>
        </is>
      </c>
      <c r="E29" s="9" t="inlineStr">
        <is>
          <t>persona-open-temp+clerk_test@trita.io</t>
        </is>
      </c>
      <c r="F29" s="9" t="inlineStr">
        <is>
          <t>424242</t>
        </is>
      </c>
      <c r="G29" s="9" t="inlineStr">
        <is>
          <t>Tervezettség</t>
        </is>
      </c>
      <c r="H29" s="9" t="inlineStr">
        <is>
          <t>—</t>
        </is>
      </c>
      <c r="I29" s="9" t="n">
        <v>55</v>
      </c>
      <c r="J29" s="9" t="n">
        <v>50</v>
      </c>
      <c r="K29" s="9" t="n">
        <v>74</v>
      </c>
      <c r="L29" s="9" t="n">
        <v>45</v>
      </c>
      <c r="M29" s="9" t="n">
        <v>30</v>
      </c>
      <c r="N29" s="9" t="n">
        <v>86</v>
      </c>
    </row>
    <row r="30">
      <c r="A30" s="8" t="n">
        <v>29</v>
      </c>
      <c r="B30" s="8" t="inlineStr">
        <is>
          <t>archetípus</t>
        </is>
      </c>
      <c r="C30" s="8" t="inlineStr">
        <is>
          <t>open-adap</t>
        </is>
      </c>
      <c r="D30" s="8" t="inlineStr">
        <is>
          <t>Együttműködő újító</t>
        </is>
      </c>
      <c r="E30" s="8" t="inlineStr">
        <is>
          <t>persona-open-adap+clerk_test@trita.io</t>
        </is>
      </c>
      <c r="F30" s="8" t="inlineStr">
        <is>
          <t>424242</t>
        </is>
      </c>
      <c r="G30" s="8" t="inlineStr">
        <is>
          <t>Tervezettség</t>
        </is>
      </c>
      <c r="H30" s="8" t="inlineStr">
        <is>
          <t>facilitatedInnovation</t>
        </is>
      </c>
      <c r="I30" s="8" t="n">
        <v>55</v>
      </c>
      <c r="J30" s="8" t="n">
        <v>50</v>
      </c>
      <c r="K30" s="8" t="n">
        <v>45</v>
      </c>
      <c r="L30" s="8" t="n">
        <v>74</v>
      </c>
      <c r="M30" s="8" t="n">
        <v>30</v>
      </c>
      <c r="N30" s="8" t="n">
        <v>86</v>
      </c>
    </row>
    <row r="31">
      <c r="A31" s="9" t="n">
        <v>30</v>
      </c>
      <c r="B31" s="9" t="inlineStr">
        <is>
          <t>archetípus</t>
        </is>
      </c>
      <c r="C31" s="9" t="inlineStr">
        <is>
          <t>open-thor</t>
        </is>
      </c>
      <c r="D31" s="9" t="inlineStr">
        <is>
          <t>Módszeres újító</t>
        </is>
      </c>
      <c r="E31" s="9" t="inlineStr">
        <is>
          <t>persona-open-thor+clerk_test@trita.io</t>
        </is>
      </c>
      <c r="F31" s="9" t="inlineStr">
        <is>
          <t>424242</t>
        </is>
      </c>
      <c r="G31" s="9" t="inlineStr">
        <is>
          <t>Alkalmazkodás</t>
        </is>
      </c>
      <c r="H31" s="9" t="inlineStr">
        <is>
          <t>structuredCompetitor, structuredInnovator, disruptiveInnovator</t>
        </is>
      </c>
      <c r="I31" s="9" t="n">
        <v>55</v>
      </c>
      <c r="J31" s="9" t="n">
        <v>50</v>
      </c>
      <c r="K31" s="9" t="n">
        <v>45</v>
      </c>
      <c r="L31" s="9" t="n">
        <v>30</v>
      </c>
      <c r="M31" s="9" t="n">
        <v>74</v>
      </c>
      <c r="N31" s="9" t="n">
        <v>86</v>
      </c>
    </row>
    <row r="32">
      <c r="A32" s="8" t="n">
        <v>31</v>
      </c>
      <c r="B32" s="8" t="inlineStr">
        <is>
          <t>feszültség-pár</t>
        </is>
      </c>
      <c r="C32" s="8" t="inlineStr">
        <is>
          <t>pair-ethical-leader</t>
        </is>
      </c>
      <c r="D32" s="8" t="inlineStr">
        <is>
          <t>Energikus értékőr</t>
        </is>
      </c>
      <c r="E32" s="8" t="inlineStr">
        <is>
          <t>persona-pair-ethical-leader+clerk_test@trita.io</t>
        </is>
      </c>
      <c r="F32" s="8" t="inlineStr">
        <is>
          <t>424242</t>
        </is>
      </c>
      <c r="G32" s="8" t="inlineStr">
        <is>
          <t>—</t>
        </is>
      </c>
      <c r="H32" s="8" t="inlineStr">
        <is>
          <t>ethicalLeader</t>
        </is>
      </c>
      <c r="I32" s="8" t="n">
        <v>82</v>
      </c>
      <c r="J32" s="8" t="n">
        <v>55</v>
      </c>
      <c r="K32" s="8" t="n">
        <v>78</v>
      </c>
      <c r="L32" s="8" t="n">
        <v>52</v>
      </c>
      <c r="M32" s="8" t="n">
        <v>48</v>
      </c>
      <c r="N32" s="8" t="n">
        <v>45</v>
      </c>
    </row>
    <row r="33">
      <c r="A33" s="9" t="n">
        <v>32</v>
      </c>
      <c r="B33" s="9" t="inlineStr">
        <is>
          <t>feszültség-pár</t>
        </is>
      </c>
      <c r="C33" s="9" t="inlineStr">
        <is>
          <t>pair-principled-confronter</t>
        </is>
      </c>
      <c r="D33" s="9" t="inlineStr">
        <is>
          <t>Empatikus értékőr</t>
        </is>
      </c>
      <c r="E33" s="9" t="inlineStr">
        <is>
          <t>persona-pair-principled-confronter+clerk_test@trita.io</t>
        </is>
      </c>
      <c r="F33" s="9" t="inlineStr">
        <is>
          <t>424242</t>
        </is>
      </c>
      <c r="G33" s="9" t="inlineStr">
        <is>
          <t>Alkalmazkodás</t>
        </is>
      </c>
      <c r="H33" s="9" t="inlineStr">
        <is>
          <t>principledConfronter</t>
        </is>
      </c>
      <c r="I33" s="9" t="n">
        <v>82</v>
      </c>
      <c r="J33" s="9" t="n">
        <v>55</v>
      </c>
      <c r="K33" s="9" t="n">
        <v>52</v>
      </c>
      <c r="L33" s="9" t="n">
        <v>28</v>
      </c>
      <c r="M33" s="9" t="n">
        <v>48</v>
      </c>
      <c r="N33" s="9" t="n">
        <v>45</v>
      </c>
    </row>
    <row r="34">
      <c r="A34" s="8" t="n">
        <v>33</v>
      </c>
      <c r="B34" s="8" t="inlineStr">
        <is>
          <t>feszültség-pár</t>
        </is>
      </c>
      <c r="C34" s="8" t="inlineStr">
        <is>
          <t>pair-responsible-innovator</t>
        </is>
      </c>
      <c r="D34" s="8" t="inlineStr">
        <is>
          <t>Kísérletező értékőr</t>
        </is>
      </c>
      <c r="E34" s="8" t="inlineStr">
        <is>
          <t>persona-pair-responsible-innovator+clerk_test@trita.io</t>
        </is>
      </c>
      <c r="F34" s="8" t="inlineStr">
        <is>
          <t>424242</t>
        </is>
      </c>
      <c r="G34" s="8" t="inlineStr">
        <is>
          <t>—</t>
        </is>
      </c>
      <c r="H34" s="8" t="inlineStr">
        <is>
          <t>responsibleInnovator</t>
        </is>
      </c>
      <c r="I34" s="8" t="n">
        <v>82</v>
      </c>
      <c r="J34" s="8" t="n">
        <v>55</v>
      </c>
      <c r="K34" s="8" t="n">
        <v>52</v>
      </c>
      <c r="L34" s="8" t="n">
        <v>48</v>
      </c>
      <c r="M34" s="8" t="n">
        <v>45</v>
      </c>
      <c r="N34" s="8" t="n">
        <v>78</v>
      </c>
    </row>
    <row r="35">
      <c r="A35" s="9" t="n">
        <v>34</v>
      </c>
      <c r="B35" s="9" t="inlineStr">
        <is>
          <t>feszültség-pár</t>
        </is>
      </c>
      <c r="C35" s="9" t="inlineStr">
        <is>
          <t>pair-supported-visibility</t>
        </is>
      </c>
      <c r="D35" s="9" t="inlineStr">
        <is>
          <t>Energikus empata</t>
        </is>
      </c>
      <c r="E35" s="9" t="inlineStr">
        <is>
          <t>persona-pair-supported-visibility+clerk_test@trita.io</t>
        </is>
      </c>
      <c r="F35" s="9" t="inlineStr">
        <is>
          <t>424242</t>
        </is>
      </c>
      <c r="G35" s="9" t="inlineStr">
        <is>
          <t>—</t>
        </is>
      </c>
      <c r="H35" s="9" t="inlineStr">
        <is>
          <t>supportedVisibility (risk)</t>
        </is>
      </c>
      <c r="I35" s="9" t="n">
        <v>55</v>
      </c>
      <c r="J35" s="9" t="n">
        <v>82</v>
      </c>
      <c r="K35" s="9" t="n">
        <v>78</v>
      </c>
      <c r="L35" s="9" t="n">
        <v>52</v>
      </c>
      <c r="M35" s="9" t="n">
        <v>48</v>
      </c>
      <c r="N35" s="9" t="n">
        <v>45</v>
      </c>
    </row>
    <row r="36">
      <c r="A36" s="8" t="n">
        <v>35</v>
      </c>
      <c r="B36" s="8" t="inlineStr">
        <is>
          <t>feszültség-pár</t>
        </is>
      </c>
      <c r="C36" s="8" t="inlineStr">
        <is>
          <t>pair-structured-stability</t>
        </is>
      </c>
      <c r="D36" s="8" t="inlineStr">
        <is>
          <t>Módszeres empata</t>
        </is>
      </c>
      <c r="E36" s="8" t="inlineStr">
        <is>
          <t>persona-pair-structured-stability+clerk_test@trita.io</t>
        </is>
      </c>
      <c r="F36" s="8" t="inlineStr">
        <is>
          <t>424242</t>
        </is>
      </c>
      <c r="G36" s="8" t="inlineStr">
        <is>
          <t>—</t>
        </is>
      </c>
      <c r="H36" s="8" t="inlineStr">
        <is>
          <t>structuredStability (risk)</t>
        </is>
      </c>
      <c r="I36" s="8" t="n">
        <v>55</v>
      </c>
      <c r="J36" s="8" t="n">
        <v>82</v>
      </c>
      <c r="K36" s="8" t="n">
        <v>52</v>
      </c>
      <c r="L36" s="8" t="n">
        <v>48</v>
      </c>
      <c r="M36" s="8" t="n">
        <v>78</v>
      </c>
      <c r="N36" s="8" t="n">
        <v>45</v>
      </c>
    </row>
    <row r="37">
      <c r="A37" s="9" t="n">
        <v>36</v>
      </c>
      <c r="B37" s="9" t="inlineStr">
        <is>
          <t>feszültség-pár</t>
        </is>
      </c>
      <c r="C37" s="9" t="inlineStr">
        <is>
          <t>pair-safe-experimentation</t>
        </is>
      </c>
      <c r="D37" s="9" t="inlineStr">
        <is>
          <t>Kísérletező empata</t>
        </is>
      </c>
      <c r="E37" s="9" t="inlineStr">
        <is>
          <t>persona-pair-safe-experimentation+clerk_test@trita.io</t>
        </is>
      </c>
      <c r="F37" s="9" t="inlineStr">
        <is>
          <t>424242</t>
        </is>
      </c>
      <c r="G37" s="9" t="inlineStr">
        <is>
          <t>—</t>
        </is>
      </c>
      <c r="H37" s="9" t="inlineStr">
        <is>
          <t>safeExperimentation (risk)</t>
        </is>
      </c>
      <c r="I37" s="9" t="n">
        <v>55</v>
      </c>
      <c r="J37" s="9" t="n">
        <v>82</v>
      </c>
      <c r="K37" s="9" t="n">
        <v>52</v>
      </c>
      <c r="L37" s="9" t="n">
        <v>48</v>
      </c>
      <c r="M37" s="9" t="n">
        <v>45</v>
      </c>
      <c r="N37" s="9" t="n">
        <v>78</v>
      </c>
    </row>
    <row r="38">
      <c r="A38" s="8" t="n">
        <v>37</v>
      </c>
      <c r="B38" s="8" t="inlineStr">
        <is>
          <t>feszültség-pár</t>
        </is>
      </c>
      <c r="C38" s="8" t="inlineStr">
        <is>
          <t>pair-deep-collaboration</t>
        </is>
      </c>
      <c r="D38" s="8" t="inlineStr">
        <is>
          <t>Elvhű hídépítő</t>
        </is>
      </c>
      <c r="E38" s="8" t="inlineStr">
        <is>
          <t>persona-pair-deep-collaboration+clerk_test@trita.io</t>
        </is>
      </c>
      <c r="F38" s="8" t="inlineStr">
        <is>
          <t>424242</t>
        </is>
      </c>
      <c r="G38" s="8" t="inlineStr">
        <is>
          <t>Társas energia</t>
        </is>
      </c>
      <c r="H38" s="8" t="inlineStr">
        <is>
          <t>deepCollaboration</t>
        </is>
      </c>
      <c r="I38" s="8" t="n">
        <v>55</v>
      </c>
      <c r="J38" s="8" t="n">
        <v>52</v>
      </c>
      <c r="K38" s="8" t="n">
        <v>24</v>
      </c>
      <c r="L38" s="8" t="n">
        <v>78</v>
      </c>
      <c r="M38" s="8" t="n">
        <v>48</v>
      </c>
      <c r="N38" s="8" t="n">
        <v>45</v>
      </c>
    </row>
    <row r="39">
      <c r="A39" s="9" t="n">
        <v>38</v>
      </c>
      <c r="B39" s="9" t="inlineStr">
        <is>
          <t>feszültség-pár</t>
        </is>
      </c>
      <c r="C39" s="9" t="inlineStr">
        <is>
          <t>pair-solitary-innovator</t>
        </is>
      </c>
      <c r="D39" s="9" t="inlineStr">
        <is>
          <t>Elvhű újító</t>
        </is>
      </c>
      <c r="E39" s="9" t="inlineStr">
        <is>
          <t>persona-pair-solitary-innovator+clerk_test@trita.io</t>
        </is>
      </c>
      <c r="F39" s="9" t="inlineStr">
        <is>
          <t>424242</t>
        </is>
      </c>
      <c r="G39" s="9" t="inlineStr">
        <is>
          <t>Társas energia</t>
        </is>
      </c>
      <c r="H39" s="9" t="inlineStr">
        <is>
          <t>solitaryInnovator</t>
        </is>
      </c>
      <c r="I39" s="9" t="n">
        <v>55</v>
      </c>
      <c r="J39" s="9" t="n">
        <v>52</v>
      </c>
      <c r="K39" s="9" t="n">
        <v>24</v>
      </c>
      <c r="L39" s="9" t="n">
        <v>48</v>
      </c>
      <c r="M39" s="9" t="n">
        <v>45</v>
      </c>
      <c r="N39" s="9" t="n">
        <v>78</v>
      </c>
    </row>
    <row r="40">
      <c r="A40" s="8" t="n">
        <v>39</v>
      </c>
      <c r="B40" s="8" t="inlineStr">
        <is>
          <t>feszültség-pár</t>
        </is>
      </c>
      <c r="C40" s="8" t="inlineStr">
        <is>
          <t>pair-facilitated-innovation</t>
        </is>
      </c>
      <c r="D40" s="8" t="inlineStr">
        <is>
          <t>Kísérletező hídépítő</t>
        </is>
      </c>
      <c r="E40" s="8" t="inlineStr">
        <is>
          <t>persona-pair-facilitated-innovation+clerk_test@trita.io</t>
        </is>
      </c>
      <c r="F40" s="8" t="inlineStr">
        <is>
          <t>424242</t>
        </is>
      </c>
      <c r="G40" s="8" t="inlineStr">
        <is>
          <t>—</t>
        </is>
      </c>
      <c r="H40" s="8" t="inlineStr">
        <is>
          <t>facilitatedInnovation</t>
        </is>
      </c>
      <c r="I40" s="8" t="n">
        <v>55</v>
      </c>
      <c r="J40" s="8" t="n">
        <v>52</v>
      </c>
      <c r="K40" s="8" t="n">
        <v>48</v>
      </c>
      <c r="L40" s="8" t="n">
        <v>82</v>
      </c>
      <c r="M40" s="8" t="n">
        <v>45</v>
      </c>
      <c r="N40" s="8" t="n">
        <v>78</v>
      </c>
    </row>
    <row r="41">
      <c r="A41" s="9" t="n">
        <v>40</v>
      </c>
      <c r="B41" s="9" t="inlineStr">
        <is>
          <t>feszültség-pár</t>
        </is>
      </c>
      <c r="C41" s="9" t="inlineStr">
        <is>
          <t>pair-structured-competitor</t>
        </is>
      </c>
      <c r="D41" s="9" t="inlineStr">
        <is>
          <t>Elvhű rendszerépítő</t>
        </is>
      </c>
      <c r="E41" s="9" t="inlineStr">
        <is>
          <t>persona-pair-structured-competitor+clerk_test@trita.io</t>
        </is>
      </c>
      <c r="F41" s="9" t="inlineStr">
        <is>
          <t>424242</t>
        </is>
      </c>
      <c r="G41" s="9" t="inlineStr">
        <is>
          <t>Alkalmazkodás</t>
        </is>
      </c>
      <c r="H41" s="9" t="inlineStr">
        <is>
          <t>structuredCompetitor</t>
        </is>
      </c>
      <c r="I41" s="9" t="n">
        <v>55</v>
      </c>
      <c r="J41" s="9" t="n">
        <v>52</v>
      </c>
      <c r="K41" s="9" t="n">
        <v>48</v>
      </c>
      <c r="L41" s="9" t="n">
        <v>24</v>
      </c>
      <c r="M41" s="9" t="n">
        <v>78</v>
      </c>
      <c r="N41" s="9" t="n">
        <v>45</v>
      </c>
    </row>
    <row r="42">
      <c r="A42" s="8" t="n">
        <v>41</v>
      </c>
      <c r="B42" s="8" t="inlineStr">
        <is>
          <t>feszültség-pár</t>
        </is>
      </c>
      <c r="C42" s="8" t="inlineStr">
        <is>
          <t>pair-structured-innovator</t>
        </is>
      </c>
      <c r="D42" s="8" t="inlineStr">
        <is>
          <t>Kísérletező rendszerépítő</t>
        </is>
      </c>
      <c r="E42" s="8" t="inlineStr">
        <is>
          <t>persona-pair-structured-innovator+clerk_test@trita.io</t>
        </is>
      </c>
      <c r="F42" s="8" t="inlineStr">
        <is>
          <t>424242</t>
        </is>
      </c>
      <c r="G42" s="8" t="inlineStr">
        <is>
          <t>—</t>
        </is>
      </c>
      <c r="H42" s="8" t="inlineStr">
        <is>
          <t>structuredInnovator</t>
        </is>
      </c>
      <c r="I42" s="8" t="n">
        <v>55</v>
      </c>
      <c r="J42" s="8" t="n">
        <v>52</v>
      </c>
      <c r="K42" s="8" t="n">
        <v>48</v>
      </c>
      <c r="L42" s="8" t="n">
        <v>45</v>
      </c>
      <c r="M42" s="8" t="n">
        <v>82</v>
      </c>
      <c r="N42" s="8" t="n">
        <v>78</v>
      </c>
    </row>
    <row r="43">
      <c r="A43" s="9" t="n">
        <v>42</v>
      </c>
      <c r="B43" s="9" t="inlineStr">
        <is>
          <t>feszültség-pár</t>
        </is>
      </c>
      <c r="C43" s="9" t="inlineStr">
        <is>
          <t>pair-resilient-leader</t>
        </is>
      </c>
      <c r="D43" s="9" t="inlineStr">
        <is>
          <t>Elvhű hajtóerő</t>
        </is>
      </c>
      <c r="E43" s="9" t="inlineStr">
        <is>
          <t>persona-pair-resilient-leader+clerk_test@trita.io</t>
        </is>
      </c>
      <c r="F43" s="9" t="inlineStr">
        <is>
          <t>424242</t>
        </is>
      </c>
      <c r="G43" s="9" t="inlineStr">
        <is>
          <t>Rezonancia</t>
        </is>
      </c>
      <c r="H43" s="9" t="inlineStr">
        <is>
          <t>resilientLeader</t>
        </is>
      </c>
      <c r="I43" s="9" t="n">
        <v>55</v>
      </c>
      <c r="J43" s="9" t="n">
        <v>24</v>
      </c>
      <c r="K43" s="9" t="n">
        <v>78</v>
      </c>
      <c r="L43" s="9" t="n">
        <v>52</v>
      </c>
      <c r="M43" s="9" t="n">
        <v>48</v>
      </c>
      <c r="N43" s="9" t="n">
        <v>45</v>
      </c>
    </row>
    <row r="44">
      <c r="A44" s="8" t="n">
        <v>43</v>
      </c>
      <c r="B44" s="8" t="inlineStr">
        <is>
          <t>feszültség-pár</t>
        </is>
      </c>
      <c r="C44" s="8" t="inlineStr">
        <is>
          <t>pair-calm-execution</t>
        </is>
      </c>
      <c r="D44" s="8" t="inlineStr">
        <is>
          <t>Elvhű rendszerépítő</t>
        </is>
      </c>
      <c r="E44" s="8" t="inlineStr">
        <is>
          <t>persona-pair-calm-execution+clerk_test@trita.io</t>
        </is>
      </c>
      <c r="F44" s="8" t="inlineStr">
        <is>
          <t>424242</t>
        </is>
      </c>
      <c r="G44" s="8" t="inlineStr">
        <is>
          <t>Rezonancia</t>
        </is>
      </c>
      <c r="H44" s="8" t="inlineStr">
        <is>
          <t>calmExecution</t>
        </is>
      </c>
      <c r="I44" s="8" t="n">
        <v>55</v>
      </c>
      <c r="J44" s="8" t="n">
        <v>24</v>
      </c>
      <c r="K44" s="8" t="n">
        <v>52</v>
      </c>
      <c r="L44" s="8" t="n">
        <v>48</v>
      </c>
      <c r="M44" s="8" t="n">
        <v>78</v>
      </c>
      <c r="N44" s="8" t="n">
        <v>45</v>
      </c>
    </row>
    <row r="45">
      <c r="A45" s="9" t="n">
        <v>44</v>
      </c>
      <c r="B45" s="9" t="inlineStr">
        <is>
          <t>feszültség-pár</t>
        </is>
      </c>
      <c r="C45" s="9" t="inlineStr">
        <is>
          <t>pair-exploratory-analyst</t>
        </is>
      </c>
      <c r="D45" s="9" t="inlineStr">
        <is>
          <t>Elvhű újító</t>
        </is>
      </c>
      <c r="E45" s="9" t="inlineStr">
        <is>
          <t>persona-pair-exploratory-analyst+clerk_test@trita.io</t>
        </is>
      </c>
      <c r="F45" s="9" t="inlineStr">
        <is>
          <t>424242</t>
        </is>
      </c>
      <c r="G45" s="9" t="inlineStr">
        <is>
          <t>Rezonancia</t>
        </is>
      </c>
      <c r="H45" s="9" t="inlineStr">
        <is>
          <t>exploratoryAnalyst</t>
        </is>
      </c>
      <c r="I45" s="9" t="n">
        <v>55</v>
      </c>
      <c r="J45" s="9" t="n">
        <v>24</v>
      </c>
      <c r="K45" s="9" t="n">
        <v>52</v>
      </c>
      <c r="L45" s="9" t="n">
        <v>48</v>
      </c>
      <c r="M45" s="9" t="n">
        <v>45</v>
      </c>
      <c r="N45" s="9" t="n">
        <v>78</v>
      </c>
    </row>
    <row r="46">
      <c r="A46" s="8" t="n">
        <v>45</v>
      </c>
      <c r="B46" s="8" t="inlineStr">
        <is>
          <t>feszültség-pár</t>
        </is>
      </c>
      <c r="C46" s="8" t="inlineStr">
        <is>
          <t>pair-organized-leader</t>
        </is>
      </c>
      <c r="D46" s="8" t="inlineStr">
        <is>
          <t>Módszeres hajtóerő</t>
        </is>
      </c>
      <c r="E46" s="8" t="inlineStr">
        <is>
          <t>persona-pair-organized-leader+clerk_test@trita.io</t>
        </is>
      </c>
      <c r="F46" s="8" t="inlineStr">
        <is>
          <t>424242</t>
        </is>
      </c>
      <c r="G46" s="8" t="inlineStr">
        <is>
          <t>—</t>
        </is>
      </c>
      <c r="H46" s="8" t="inlineStr">
        <is>
          <t>organizedLeader</t>
        </is>
      </c>
      <c r="I46" s="8" t="n">
        <v>55</v>
      </c>
      <c r="J46" s="8" t="n">
        <v>52</v>
      </c>
      <c r="K46" s="8" t="n">
        <v>82</v>
      </c>
      <c r="L46" s="8" t="n">
        <v>48</v>
      </c>
      <c r="M46" s="8" t="n">
        <v>78</v>
      </c>
      <c r="N46" s="8" t="n">
        <v>45</v>
      </c>
    </row>
    <row r="47">
      <c r="A47" s="9" t="n">
        <v>46</v>
      </c>
      <c r="B47" s="9" t="inlineStr">
        <is>
          <t>feszültség-pár</t>
        </is>
      </c>
      <c r="C47" s="9" t="inlineStr">
        <is>
          <t>pair-harmonious-connector</t>
        </is>
      </c>
      <c r="D47" s="9" t="inlineStr">
        <is>
          <t>Együttműködő hajtóerő</t>
        </is>
      </c>
      <c r="E47" s="9" t="inlineStr">
        <is>
          <t>persona-pair-harmonious-connector+clerk_test@trita.io</t>
        </is>
      </c>
      <c r="F47" s="9" t="inlineStr">
        <is>
          <t>424242</t>
        </is>
      </c>
      <c r="G47" s="9" t="inlineStr">
        <is>
          <t>—</t>
        </is>
      </c>
      <c r="H47" s="9" t="inlineStr">
        <is>
          <t>harmoniousConnector</t>
        </is>
      </c>
      <c r="I47" s="9" t="n">
        <v>55</v>
      </c>
      <c r="J47" s="9" t="n">
        <v>52</v>
      </c>
      <c r="K47" s="9" t="n">
        <v>82</v>
      </c>
      <c r="L47" s="9" t="n">
        <v>78</v>
      </c>
      <c r="M47" s="9" t="n">
        <v>48</v>
      </c>
      <c r="N47" s="9" t="n">
        <v>45</v>
      </c>
    </row>
    <row r="48">
      <c r="A48" s="8" t="n">
        <v>47</v>
      </c>
      <c r="B48" s="8" t="inlineStr">
        <is>
          <t>feszültség-pár</t>
        </is>
      </c>
      <c r="C48" s="8" t="inlineStr">
        <is>
          <t>pair-performance-driver</t>
        </is>
      </c>
      <c r="D48" s="8" t="inlineStr">
        <is>
          <t>Empatikus rendszerépítő</t>
        </is>
      </c>
      <c r="E48" s="8" t="inlineStr">
        <is>
          <t>persona-pair-performance-driver+clerk_test@trita.io</t>
        </is>
      </c>
      <c r="F48" s="8" t="inlineStr">
        <is>
          <t>424242</t>
        </is>
      </c>
      <c r="G48" s="8" t="inlineStr">
        <is>
          <t>Integritás</t>
        </is>
      </c>
      <c r="H48" s="8" t="inlineStr">
        <is>
          <t>performanceDriver</t>
        </is>
      </c>
      <c r="I48" s="8" t="n">
        <v>24</v>
      </c>
      <c r="J48" s="8" t="n">
        <v>55</v>
      </c>
      <c r="K48" s="8" t="n">
        <v>52</v>
      </c>
      <c r="L48" s="8" t="n">
        <v>48</v>
      </c>
      <c r="M48" s="8" t="n">
        <v>78</v>
      </c>
      <c r="N48" s="8" t="n">
        <v>45</v>
      </c>
    </row>
    <row r="49">
      <c r="A49" s="9" t="n">
        <v>48</v>
      </c>
      <c r="B49" s="9" t="inlineStr">
        <is>
          <t>feszültség-pár</t>
        </is>
      </c>
      <c r="C49" s="9" t="inlineStr">
        <is>
          <t>pair-disruptive-innovator</t>
        </is>
      </c>
      <c r="D49" s="9" t="inlineStr">
        <is>
          <t>Elvhű újító</t>
        </is>
      </c>
      <c r="E49" s="9" t="inlineStr">
        <is>
          <t>persona-pair-disruptive-innovator+clerk_test@trita.io</t>
        </is>
      </c>
      <c r="F49" s="9" t="inlineStr">
        <is>
          <t>424242</t>
        </is>
      </c>
      <c r="G49" s="9" t="inlineStr">
        <is>
          <t>Alkalmazkodás</t>
        </is>
      </c>
      <c r="H49" s="9" t="inlineStr">
        <is>
          <t>disruptiveInnovator</t>
        </is>
      </c>
      <c r="I49" s="9" t="n">
        <v>55</v>
      </c>
      <c r="J49" s="9" t="n">
        <v>52</v>
      </c>
      <c r="K49" s="9" t="n">
        <v>48</v>
      </c>
      <c r="L49" s="9" t="n">
        <v>24</v>
      </c>
      <c r="M49" s="9" t="n">
        <v>45</v>
      </c>
      <c r="N49" s="9" t="n">
        <v>78</v>
      </c>
    </row>
  </sheetData>
  <autoFilter ref="A1:N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24" customWidth="1" min="3" max="3"/>
    <col width="11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34" customWidth="1" min="15" max="15"/>
  </cols>
  <sheetData>
    <row r="1">
      <c r="A1" s="6" t="inlineStr">
        <is>
          <t>Personánként egy sor — a sárga cellákat töltsd (legördülő: OK / HIBA / N/A)</t>
        </is>
      </c>
    </row>
    <row r="2" ht="40" customHeight="1">
      <c r="A2" s="7" t="inlineStr">
        <is>
          <t>#</t>
        </is>
      </c>
      <c r="B2" s="7" t="inlineStr">
        <is>
          <t>Persona (slug)</t>
        </is>
      </c>
      <c r="C2" s="7" t="inlineStr">
        <is>
          <t>Várt archetípus</t>
        </is>
      </c>
      <c r="D2" s="7" t="inlineStr">
        <is>
          <t>Dátum</t>
        </is>
      </c>
      <c r="E2" s="7" t="inlineStr">
        <is>
          <t>Tesztelő</t>
        </is>
      </c>
      <c r="F2" s="7" t="inlineStr">
        <is>
          <t>Belépés (424242)</t>
        </is>
      </c>
      <c r="G2" s="7" t="inlineStr">
        <is>
          <t>Archetípus-cím helyes</t>
        </is>
      </c>
      <c r="H2" s="7" t="inlineStr">
        <is>
          <t>Dimenzió-pontszámok egyeznek</t>
        </is>
      </c>
      <c r="I2" s="7" t="inlineStr">
        <is>
          <t>Erősségek / Figyelendő blokk</t>
        </is>
      </c>
      <c r="J2" s="7" t="inlineStr">
        <is>
          <t>Feszültség-párok tartalma</t>
        </is>
      </c>
      <c r="K2" s="7" t="inlineStr">
        <is>
          <t>Munkastílus szekció</t>
        </is>
      </c>
      <c r="L2" s="7" t="inlineStr">
        <is>
          <t>PDF export</t>
        </is>
      </c>
      <c r="M2" s="7" t="inlineStr">
        <is>
          <t>Megosztás (share link)</t>
        </is>
      </c>
      <c r="N2" s="7" t="inlineStr">
        <is>
          <t>Observer-összehasonlítás</t>
        </is>
      </c>
      <c r="O2" s="7" t="inlineStr">
        <is>
          <t>Megjegyzés / hibajegy</t>
        </is>
      </c>
    </row>
    <row r="3">
      <c r="A3" s="9" t="n">
        <v>1</v>
      </c>
      <c r="B3" s="9" t="inlineStr">
        <is>
          <t>inte-reso</t>
        </is>
      </c>
      <c r="C3" s="9" t="inlineStr">
        <is>
          <t>Empatikus értékőr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</row>
    <row r="4">
      <c r="A4" s="9" t="n">
        <v>2</v>
      </c>
      <c r="B4" s="9" t="inlineStr">
        <is>
          <t>inte-temp</t>
        </is>
      </c>
      <c r="C4" s="9" t="inlineStr">
        <is>
          <t>Energikus értékőr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9" t="n">
        <v>3</v>
      </c>
      <c r="B5" s="9" t="inlineStr">
        <is>
          <t>inte-adap</t>
        </is>
      </c>
      <c r="C5" s="9" t="inlineStr">
        <is>
          <t>Együttműködő értékőr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9" t="n">
        <v>4</v>
      </c>
      <c r="B6" s="9" t="inlineStr">
        <is>
          <t>inte-thor</t>
        </is>
      </c>
      <c r="C6" s="9" t="inlineStr">
        <is>
          <t>Módszeres értékőr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9" t="n">
        <v>5</v>
      </c>
      <c r="B7" s="9" t="inlineStr">
        <is>
          <t>inte-open</t>
        </is>
      </c>
      <c r="C7" s="9" t="inlineStr">
        <is>
          <t>Kísérletező értékőr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9" t="n">
        <v>6</v>
      </c>
      <c r="B8" s="9" t="inlineStr">
        <is>
          <t>reso-inte</t>
        </is>
      </c>
      <c r="C8" s="9" t="inlineStr">
        <is>
          <t>Elvhű empata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9" t="n">
        <v>7</v>
      </c>
      <c r="B9" s="9" t="inlineStr">
        <is>
          <t>reso-temp</t>
        </is>
      </c>
      <c r="C9" s="9" t="inlineStr">
        <is>
          <t>Energikus empata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9" t="n">
        <v>8</v>
      </c>
      <c r="B10" s="9" t="inlineStr">
        <is>
          <t>reso-adap</t>
        </is>
      </c>
      <c r="C10" s="9" t="inlineStr">
        <is>
          <t>Együttműködő empata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9" t="n">
        <v>9</v>
      </c>
      <c r="B11" s="9" t="inlineStr">
        <is>
          <t>reso-thor</t>
        </is>
      </c>
      <c r="C11" s="9" t="inlineStr">
        <is>
          <t>Módszeres empata</t>
        </is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9" t="n">
        <v>10</v>
      </c>
      <c r="B12" s="9" t="inlineStr">
        <is>
          <t>reso-open</t>
        </is>
      </c>
      <c r="C12" s="9" t="inlineStr">
        <is>
          <t>Kísérletező empata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9" t="n">
        <v>11</v>
      </c>
      <c r="B13" s="9" t="inlineStr">
        <is>
          <t>temp-inte</t>
        </is>
      </c>
      <c r="C13" s="9" t="inlineStr">
        <is>
          <t>Elvhű hajtóerő</t>
        </is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9" t="n">
        <v>12</v>
      </c>
      <c r="B14" s="9" t="inlineStr">
        <is>
          <t>temp-reso</t>
        </is>
      </c>
      <c r="C14" s="9" t="inlineStr">
        <is>
          <t>Empatikus hajtóerő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9" t="n">
        <v>13</v>
      </c>
      <c r="B15" s="9" t="inlineStr">
        <is>
          <t>temp-adap</t>
        </is>
      </c>
      <c r="C15" s="9" t="inlineStr">
        <is>
          <t>Együttműködő hajtóerő</t>
        </is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9" t="n">
        <v>14</v>
      </c>
      <c r="B16" s="9" t="inlineStr">
        <is>
          <t>temp-thor</t>
        </is>
      </c>
      <c r="C16" s="9" t="inlineStr">
        <is>
          <t>Módszeres hajtóerő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9" t="n">
        <v>15</v>
      </c>
      <c r="B17" s="9" t="inlineStr">
        <is>
          <t>temp-open</t>
        </is>
      </c>
      <c r="C17" s="9" t="inlineStr">
        <is>
          <t>Kísérletező hajtóerő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9" t="n">
        <v>16</v>
      </c>
      <c r="B18" s="9" t="inlineStr">
        <is>
          <t>adap-inte</t>
        </is>
      </c>
      <c r="C18" s="9" t="inlineStr">
        <is>
          <t>Elvhű hídépítő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9" t="n">
        <v>17</v>
      </c>
      <c r="B19" s="9" t="inlineStr">
        <is>
          <t>adap-reso</t>
        </is>
      </c>
      <c r="C19" s="9" t="inlineStr">
        <is>
          <t>Empatikus hídépítő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9" t="n">
        <v>18</v>
      </c>
      <c r="B20" s="9" t="inlineStr">
        <is>
          <t>adap-temp</t>
        </is>
      </c>
      <c r="C20" s="9" t="inlineStr">
        <is>
          <t>Energikus hídépítő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9" t="n">
        <v>19</v>
      </c>
      <c r="B21" s="9" t="inlineStr">
        <is>
          <t>adap-thor</t>
        </is>
      </c>
      <c r="C21" s="9" t="inlineStr">
        <is>
          <t>Módszeres hídépítő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9" t="n">
        <v>20</v>
      </c>
      <c r="B22" s="9" t="inlineStr">
        <is>
          <t>adap-open</t>
        </is>
      </c>
      <c r="C22" s="9" t="inlineStr">
        <is>
          <t>Kísérletező hídépítő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9" t="n">
        <v>21</v>
      </c>
      <c r="B23" s="9" t="inlineStr">
        <is>
          <t>thor-inte</t>
        </is>
      </c>
      <c r="C23" s="9" t="inlineStr">
        <is>
          <t>Elvhű rendszerépítő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9" t="n">
        <v>22</v>
      </c>
      <c r="B24" s="9" t="inlineStr">
        <is>
          <t>thor-reso</t>
        </is>
      </c>
      <c r="C24" s="9" t="inlineStr">
        <is>
          <t>Empatikus rendszerépítő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9" t="n">
        <v>23</v>
      </c>
      <c r="B25" s="9" t="inlineStr">
        <is>
          <t>thor-temp</t>
        </is>
      </c>
      <c r="C25" s="9" t="inlineStr">
        <is>
          <t>Energikus rendszerépítő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>
      <c r="A26" s="9" t="n">
        <v>24</v>
      </c>
      <c r="B26" s="9" t="inlineStr">
        <is>
          <t>thor-adap</t>
        </is>
      </c>
      <c r="C26" s="9" t="inlineStr">
        <is>
          <t>Együttműködő rendszerépítő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>
      <c r="A27" s="9" t="n">
        <v>25</v>
      </c>
      <c r="B27" s="9" t="inlineStr">
        <is>
          <t>thor-open</t>
        </is>
      </c>
      <c r="C27" s="9" t="inlineStr">
        <is>
          <t>Kísérletező rendszerépítő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>
      <c r="A28" s="9" t="n">
        <v>26</v>
      </c>
      <c r="B28" s="9" t="inlineStr">
        <is>
          <t>open-inte</t>
        </is>
      </c>
      <c r="C28" s="9" t="inlineStr">
        <is>
          <t>Elvhű újító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>
      <c r="A29" s="9" t="n">
        <v>27</v>
      </c>
      <c r="B29" s="9" t="inlineStr">
        <is>
          <t>open-reso</t>
        </is>
      </c>
      <c r="C29" s="9" t="inlineStr">
        <is>
          <t>Empatikus újító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>
      <c r="A30" s="9" t="n">
        <v>28</v>
      </c>
      <c r="B30" s="9" t="inlineStr">
        <is>
          <t>open-temp</t>
        </is>
      </c>
      <c r="C30" s="9" t="inlineStr">
        <is>
          <t>Energikus újító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</row>
    <row r="31">
      <c r="A31" s="9" t="n">
        <v>29</v>
      </c>
      <c r="B31" s="9" t="inlineStr">
        <is>
          <t>open-adap</t>
        </is>
      </c>
      <c r="C31" s="9" t="inlineStr">
        <is>
          <t>Együttműködő újító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</row>
    <row r="32">
      <c r="A32" s="9" t="n">
        <v>30</v>
      </c>
      <c r="B32" s="9" t="inlineStr">
        <is>
          <t>open-thor</t>
        </is>
      </c>
      <c r="C32" s="9" t="inlineStr">
        <is>
          <t>Módszeres újító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</row>
    <row r="33">
      <c r="A33" s="9" t="n">
        <v>31</v>
      </c>
      <c r="B33" s="9" t="inlineStr">
        <is>
          <t>pair-ethical-leader</t>
        </is>
      </c>
      <c r="C33" s="9" t="inlineStr">
        <is>
          <t>Energikus értékőr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</row>
    <row r="34">
      <c r="A34" s="9" t="n">
        <v>32</v>
      </c>
      <c r="B34" s="9" t="inlineStr">
        <is>
          <t>pair-principled-confronter</t>
        </is>
      </c>
      <c r="C34" s="9" t="inlineStr">
        <is>
          <t>Empatikus értékőr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</row>
    <row r="35">
      <c r="A35" s="9" t="n">
        <v>33</v>
      </c>
      <c r="B35" s="9" t="inlineStr">
        <is>
          <t>pair-responsible-innovator</t>
        </is>
      </c>
      <c r="C35" s="9" t="inlineStr">
        <is>
          <t>Kísérletező értékőr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>
      <c r="A36" s="9" t="n">
        <v>34</v>
      </c>
      <c r="B36" s="9" t="inlineStr">
        <is>
          <t>pair-supported-visibility</t>
        </is>
      </c>
      <c r="C36" s="9" t="inlineStr">
        <is>
          <t>Energikus empata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</row>
    <row r="37">
      <c r="A37" s="9" t="n">
        <v>35</v>
      </c>
      <c r="B37" s="9" t="inlineStr">
        <is>
          <t>pair-structured-stability</t>
        </is>
      </c>
      <c r="C37" s="9" t="inlineStr">
        <is>
          <t>Módszeres empata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</row>
    <row r="38">
      <c r="A38" s="9" t="n">
        <v>36</v>
      </c>
      <c r="B38" s="9" t="inlineStr">
        <is>
          <t>pair-safe-experimentation</t>
        </is>
      </c>
      <c r="C38" s="9" t="inlineStr">
        <is>
          <t>Kísérletező empata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</row>
    <row r="39">
      <c r="A39" s="9" t="n">
        <v>37</v>
      </c>
      <c r="B39" s="9" t="inlineStr">
        <is>
          <t>pair-deep-collaboration</t>
        </is>
      </c>
      <c r="C39" s="9" t="inlineStr">
        <is>
          <t>Elvhű hídépítő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</row>
    <row r="40">
      <c r="A40" s="9" t="n">
        <v>38</v>
      </c>
      <c r="B40" s="9" t="inlineStr">
        <is>
          <t>pair-solitary-innovator</t>
        </is>
      </c>
      <c r="C40" s="9" t="inlineStr">
        <is>
          <t>Elvhű újító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</row>
    <row r="41">
      <c r="A41" s="9" t="n">
        <v>39</v>
      </c>
      <c r="B41" s="9" t="inlineStr">
        <is>
          <t>pair-facilitated-innovation</t>
        </is>
      </c>
      <c r="C41" s="9" t="inlineStr">
        <is>
          <t>Kísérletező hídépítő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</row>
    <row r="42">
      <c r="A42" s="9" t="n">
        <v>40</v>
      </c>
      <c r="B42" s="9" t="inlineStr">
        <is>
          <t>pair-structured-competitor</t>
        </is>
      </c>
      <c r="C42" s="9" t="inlineStr">
        <is>
          <t>Elvhű rendszerépítő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</row>
    <row r="43">
      <c r="A43" s="9" t="n">
        <v>41</v>
      </c>
      <c r="B43" s="9" t="inlineStr">
        <is>
          <t>pair-structured-innovator</t>
        </is>
      </c>
      <c r="C43" s="9" t="inlineStr">
        <is>
          <t>Kísérletező rendszerépítő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</row>
    <row r="44">
      <c r="A44" s="9" t="n">
        <v>42</v>
      </c>
      <c r="B44" s="9" t="inlineStr">
        <is>
          <t>pair-resilient-leader</t>
        </is>
      </c>
      <c r="C44" s="9" t="inlineStr">
        <is>
          <t>Elvhű hajtóerő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</row>
    <row r="45">
      <c r="A45" s="9" t="n">
        <v>43</v>
      </c>
      <c r="B45" s="9" t="inlineStr">
        <is>
          <t>pair-calm-execution</t>
        </is>
      </c>
      <c r="C45" s="9" t="inlineStr">
        <is>
          <t>Elvhű rendszerépítő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</row>
    <row r="46">
      <c r="A46" s="9" t="n">
        <v>44</v>
      </c>
      <c r="B46" s="9" t="inlineStr">
        <is>
          <t>pair-exploratory-analyst</t>
        </is>
      </c>
      <c r="C46" s="9" t="inlineStr">
        <is>
          <t>Elvhű újító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</row>
    <row r="47">
      <c r="A47" s="9" t="n">
        <v>45</v>
      </c>
      <c r="B47" s="9" t="inlineStr">
        <is>
          <t>pair-organized-leader</t>
        </is>
      </c>
      <c r="C47" s="9" t="inlineStr">
        <is>
          <t>Módszeres hajtóerő</t>
        </is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</row>
    <row r="48">
      <c r="A48" s="9" t="n">
        <v>46</v>
      </c>
      <c r="B48" s="9" t="inlineStr">
        <is>
          <t>pair-harmonious-connector</t>
        </is>
      </c>
      <c r="C48" s="9" t="inlineStr">
        <is>
          <t>Együttműködő hajtóerő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</row>
    <row r="49">
      <c r="A49" s="9" t="n">
        <v>47</v>
      </c>
      <c r="B49" s="9" t="inlineStr">
        <is>
          <t>pair-performance-driver</t>
        </is>
      </c>
      <c r="C49" s="9" t="inlineStr">
        <is>
          <t>Empatikus rendszerépítő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</row>
    <row r="50">
      <c r="A50" s="9" t="n">
        <v>48</v>
      </c>
      <c r="B50" s="9" t="inlineStr">
        <is>
          <t>pair-disruptive-innovator</t>
        </is>
      </c>
      <c r="C50" s="9" t="inlineStr">
        <is>
          <t>Elvhű újító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</row>
    <row r="52">
      <c r="B52" s="11" t="inlineStr">
        <is>
          <t>inte-open</t>
        </is>
      </c>
      <c r="C52" s="11" t="inlineStr">
        <is>
          <t>Kísérletező értékőr</t>
        </is>
      </c>
      <c r="D52" s="11" t="inlineStr">
        <is>
          <t>2026-07-23</t>
        </is>
      </c>
      <c r="E52" s="11" t="inlineStr">
        <is>
          <t>Leinad</t>
        </is>
      </c>
      <c r="F52" s="11" t="inlineStr">
        <is>
          <t>OK</t>
        </is>
      </c>
      <c r="G52" s="11" t="inlineStr">
        <is>
          <t>OK</t>
        </is>
      </c>
      <c r="H52" s="11" t="inlineStr">
        <is>
          <t>OK</t>
        </is>
      </c>
      <c r="I52" s="11" t="inlineStr">
        <is>
          <t>OK</t>
        </is>
      </c>
      <c r="J52" s="11" t="inlineStr">
        <is>
          <t>N/A</t>
        </is>
      </c>
      <c r="K52" s="11" t="inlineStr">
        <is>
          <t>OK</t>
        </is>
      </c>
      <c r="L52" s="11" t="inlineStr">
        <is>
          <t>HIBA</t>
        </is>
      </c>
      <c r="M52" s="11" t="inlineStr">
        <is>
          <t>OK</t>
        </is>
      </c>
      <c r="N52" s="11" t="inlineStr">
        <is>
          <t>N/A</t>
        </is>
      </c>
      <c r="O52" s="11" t="inlineStr">
        <is>
          <t>PDF-ben a borító-cím levágva → BUG-001</t>
        </is>
      </c>
    </row>
  </sheetData>
  <conditionalFormatting sqref="F3:N50">
    <cfRule type="cellIs" priority="1" operator="equal" dxfId="0">
      <formula>"OK"</formula>
    </cfRule>
    <cfRule type="cellIs" priority="2" operator="equal" dxfId="1">
      <formula>"HIBA"</formula>
    </cfRule>
  </conditionalFormatting>
  <dataValidations count="1">
    <dataValidation sqref="F3:N50" showDropDown="0" showInputMessage="0" showErrorMessage="0" allowBlank="1" type="list">
      <formula1>"OK,HIBA,N/A"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8" customWidth="1" min="4" max="4"/>
    <col width="40" customWidth="1" min="5" max="5"/>
    <col width="40" customWidth="1" min="6" max="6"/>
    <col width="11" customWidth="1" min="7" max="7"/>
    <col width="12" customWidth="1" min="8" max="8"/>
    <col width="14" customWidth="1" min="9" max="9"/>
    <col width="24" customWidth="1" min="10" max="10"/>
  </cols>
  <sheetData>
    <row r="1">
      <c r="A1" s="6" t="inlineStr">
        <is>
          <t>Minden HIBA jelöléshez egy sor — a hibajegy-azonosítót (pl. BUG-001) írd a Jegyzőkönyv Megjegyzés oszlopába is</t>
        </is>
      </c>
    </row>
    <row r="2">
      <c r="A2" s="7" t="inlineStr">
        <is>
          <t>Hibajegy</t>
        </is>
      </c>
      <c r="B2" s="7" t="inlineStr">
        <is>
          <t>Dátum</t>
        </is>
      </c>
      <c r="C2" s="7" t="inlineStr">
        <is>
          <t>Persona (slug)</t>
        </is>
      </c>
      <c r="D2" s="7" t="inlineStr">
        <is>
          <t>Oldal / terület</t>
        </is>
      </c>
      <c r="E2" s="7" t="inlineStr">
        <is>
          <t>Leírás</t>
        </is>
      </c>
      <c r="F2" s="7" t="inlineStr">
        <is>
          <t>Lépések a reprodukáláshoz</t>
        </is>
      </c>
      <c r="G2" s="7" t="inlineStr">
        <is>
          <t>Súlyosság</t>
        </is>
      </c>
      <c r="H2" s="7" t="inlineStr">
        <is>
          <t>Státusz</t>
        </is>
      </c>
      <c r="I2" s="7" t="inlineStr">
        <is>
          <t>Javítva (dátum)</t>
        </is>
      </c>
      <c r="J2" s="7" t="inlineStr">
        <is>
          <t>Megjegyzés</t>
        </is>
      </c>
    </row>
    <row r="3">
      <c r="A3" s="12" t="inlineStr">
        <is>
          <t>BUG-001</t>
        </is>
      </c>
      <c r="B3" s="12" t="inlineStr">
        <is>
          <t>2026-07-23</t>
        </is>
      </c>
      <c r="C3" s="12" t="inlineStr">
        <is>
          <t>inte-open</t>
        </is>
      </c>
      <c r="D3" s="12" t="inlineStr">
        <is>
          <t>PDF export</t>
        </is>
      </c>
      <c r="E3" s="12" t="inlineStr">
        <is>
          <t>A borító-címke levágva 2 soros archetípusnál</t>
        </is>
      </c>
      <c r="F3" s="12" t="inlineStr">
        <is>
          <t>Belépés inte-open personával → PDF letöltés → borító</t>
        </is>
      </c>
      <c r="G3" s="12" t="inlineStr">
        <is>
          <t>Közepes</t>
        </is>
      </c>
      <c r="H3" s="12" t="inlineStr">
        <is>
          <t>Nyitott</t>
        </is>
      </c>
      <c r="I3" s="12" t="inlineStr"/>
      <c r="J3" s="12" t="inlineStr">
        <is>
          <t>PÉLDA-SOR — írd felül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</row>
  </sheetData>
  <conditionalFormatting sqref="H3:H100">
    <cfRule type="cellIs" priority="1" operator="equal" dxfId="1">
      <formula>"Nyitott"</formula>
    </cfRule>
    <cfRule type="cellIs" priority="2" operator="equal" dxfId="0">
      <formula>"Javítva"</formula>
    </cfRule>
  </conditionalFormatting>
  <dataValidations count="2">
    <dataValidation sqref="G3:G100" showDropDown="0" showInputMessage="0" showErrorMessage="0" allowBlank="1" type="list">
      <formula1>"Kritikus,Magas,Közepes,Alacsony"</formula1>
    </dataValidation>
    <dataValidation sqref="H3:H100" showDropDown="0" showInputMessage="0" showErrorMessage="0" allowBlank="1" type="list">
      <formula1>"Nyitott,Folyamatban,Javítva,Elvetve"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2026-07-23T12:09:47Z</dcterms:created>
  <dcterms:modified xsi:type="dcterms:W3CDTF">2026-07-23T12:09:47Z</dcterms:modified>
</cp:coreProperties>
</file>